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AIASD\AI-Assisted-Software-Development-Course\"/>
    </mc:Choice>
  </mc:AlternateContent>
  <xr:revisionPtr revIDLastSave="0" documentId="13_ncr:2001_{A642710A-C47C-477D-B20E-03BC4056E56E}" xr6:coauthVersionLast="47" xr6:coauthVersionMax="47" xr10:uidLastSave="{00000000-0000-0000-0000-000000000000}"/>
  <bookViews>
    <workbookView xWindow="4800" yWindow="1680" windowWidth="29060" windowHeight="18500" activeTab="1" xr2:uid="{88B4C266-A938-4700-99B3-B927BE83C57A}"/>
  </bookViews>
  <sheets>
    <sheet name="Sheet1" sheetId="1" r:id="rId1"/>
    <sheet name="Sheet2" sheetId="2" r:id="rId2"/>
    <sheet name="Sheet3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20" i="2" s="1"/>
  <c r="I21" i="2" s="1"/>
  <c r="I22" i="2" s="1"/>
  <c r="I23" i="2" s="1"/>
  <c r="I24" i="2" s="1"/>
  <c r="F26" i="1"/>
  <c r="E26" i="1"/>
  <c r="I19" i="2" l="1"/>
  <c r="I28" i="2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25" i="2"/>
  <c r="I26" i="2" s="1"/>
  <c r="I27" i="2" s="1"/>
</calcChain>
</file>

<file path=xl/sharedStrings.xml><?xml version="1.0" encoding="utf-8"?>
<sst xmlns="http://schemas.openxmlformats.org/spreadsheetml/2006/main" count="319" uniqueCount="208">
  <si>
    <t>Lab 1</t>
  </si>
  <si>
    <t>Getting Started with GitHub Copilot</t>
  </si>
  <si>
    <t>Lab 2</t>
  </si>
  <si>
    <t>Lab 3</t>
  </si>
  <si>
    <t>Lab 4</t>
  </si>
  <si>
    <t>Lab 5</t>
  </si>
  <si>
    <t>Lab 6</t>
  </si>
  <si>
    <t>Lab 7</t>
  </si>
  <si>
    <t>Lab 8</t>
  </si>
  <si>
    <t>Day 1.1</t>
  </si>
  <si>
    <t>Understanding Context Management</t>
  </si>
  <si>
    <t>Exploring Copilot Modes</t>
  </si>
  <si>
    <t>Calculator Project - Part 1 (Setup &amp; Basic Implementation)</t>
  </si>
  <si>
    <t>Calculator Project - Part 2 (Testing)</t>
  </si>
  <si>
    <t> Code Coverage Analysis</t>
  </si>
  <si>
    <t>Dependency Management &amp; Troubleshooting</t>
  </si>
  <si>
    <t>Best Practices Review &amp; Code Quality</t>
  </si>
  <si>
    <t>Model Comparison Exercise</t>
  </si>
  <si>
    <t>Chat Management &amp; Workflow</t>
  </si>
  <si>
    <t>Bonus</t>
  </si>
  <si>
    <t>Mob Programming Setup</t>
  </si>
  <si>
    <t>Day 1.2</t>
  </si>
  <si>
    <t>CI/CD Pipeline Creation</t>
  </si>
  <si>
    <t>Test Coverage Improvement</t>
  </si>
  <si>
    <t>Test-Driven Development (TDD) with Copilot</t>
  </si>
  <si>
    <t>Integration Testing</t>
  </si>
  <si>
    <t>Advanced Features with Scientific Operations</t>
  </si>
  <si>
    <t>Building a User Interface</t>
  </si>
  <si>
    <t>Cross-Project Bug Tracking</t>
  </si>
  <si>
    <t>Controlling Copilot Output Verbosity</t>
  </si>
  <si>
    <t>Evergreen Software Analysis</t>
  </si>
  <si>
    <t>Preventing Technical Debt in CI/CD</t>
  </si>
  <si>
    <t>Git Branch Management with Copilot</t>
  </si>
  <si>
    <t>GitHub Issues Generation</t>
  </si>
  <si>
    <t>Demo</t>
  </si>
  <si>
    <t>Lab</t>
  </si>
  <si>
    <t>Day</t>
  </si>
  <si>
    <t>Type</t>
  </si>
  <si>
    <t>Title</t>
  </si>
  <si>
    <t>Min</t>
  </si>
  <si>
    <t>Max</t>
  </si>
  <si>
    <t>Mob</t>
  </si>
  <si>
    <t>Follow</t>
  </si>
  <si>
    <t>Move to Day 1.2</t>
  </si>
  <si>
    <t>Order</t>
  </si>
  <si>
    <t>Topic</t>
  </si>
  <si>
    <t>Start Time</t>
  </si>
  <si>
    <t>Duration</t>
  </si>
  <si>
    <t>Description</t>
  </si>
  <si>
    <t>Introductions &amp; Welcome</t>
  </si>
  <si>
    <t>John Miller introduces himself, participants share backgrounds, AI experience, and learning goals</t>
  </si>
  <si>
    <t>Course Objectives &amp; Agenda</t>
  </si>
  <si>
    <t>5-day training overview, agenda review, course structure</t>
  </si>
  <si>
    <t>AI-Assisted Development Benefits</t>
  </si>
  <si>
    <t>Why AI-assisted development matters, productivity gains, career impacts</t>
  </si>
  <si>
    <t>LLM Fundamentals</t>
  </si>
  <si>
    <t>How Large Language Models work - transformers, tokenization, training process</t>
  </si>
  <si>
    <t>LLM Capabilities &amp; Limitations</t>
  </si>
  <si>
    <t>What LLMs can/cannot do, hallucination risks, reliability considerations</t>
  </si>
  <si>
    <t>Software Engineering vs "Vibe Coding"</t>
  </si>
  <si>
    <t>Structured development approach vs rapid prototyping</t>
  </si>
  <si>
    <t>AI Architecture Overview</t>
  </si>
  <si>
    <t>Visual explanation of AI model interaction architecture</t>
  </si>
  <si>
    <t>Model Selection &amp; Comparison</t>
  </si>
  <si>
    <t>Enterprise Considerations</t>
  </si>
  <si>
    <t>Data privacy, IP protection, licensing models, enterprise policies</t>
  </si>
  <si>
    <t>GitHub Copilot UI Tour</t>
  </si>
  <si>
    <t>Chat window, context management, inline suggestions, extensions</t>
  </si>
  <si>
    <t>Model selection, premium quotas, extension configuration</t>
  </si>
  <si>
    <t>Repository Setup</t>
  </si>
  <si>
    <t>Forking training repos, workspace configuration</t>
  </si>
  <si>
    <t>Mob Programming Introduction</t>
  </si>
  <si>
    <t>Collaborative coding approach for exercises</t>
  </si>
  <si>
    <t>Creating command-line calculator in C#, building, running</t>
  </si>
  <si>
    <t>Unit testing setup, test coverage analysis, debugging</t>
  </si>
  <si>
    <t>IDE Comparison</t>
  </si>
  <si>
    <t>VS Code vs Visual Studio Copilot implementations</t>
  </si>
  <si>
    <t>Running coverage reports, iterative improvement strategies</t>
  </si>
  <si>
    <t>GitHub Actions YAML generation, build automation, coverage thresholds</t>
  </si>
  <si>
    <t>Pull Request Creation</t>
  </si>
  <si>
    <t>Creating PR via GitHub web interface</t>
  </si>
  <si>
    <t>Pipeline Debugging</t>
  </si>
  <si>
    <t>Troubleshooting build failures</t>
  </si>
  <si>
    <t>Coverage Improvement Iteration</t>
  </si>
  <si>
    <t>Adding more tests, raising coverage percentage</t>
  </si>
  <si>
    <t>Test-Driven Development (TDD)</t>
  </si>
  <si>
    <t>Writing failing tests first, then implementing features</t>
  </si>
  <si>
    <t>Memory Feature Implementation</t>
  </si>
  <si>
    <t>Adding calculation history with TDD approach</t>
  </si>
  <si>
    <t>Log Command Feature</t>
  </si>
  <si>
    <t>Implementing command to list prior calculations</t>
  </si>
  <si>
    <t>Model Selection Discussion</t>
  </si>
  <si>
    <t>Comparing GPT vs Claude performance, choosing models</t>
  </si>
  <si>
    <t>Evergreen Code Concepts</t>
  </si>
  <si>
    <t>Maintaining code quality vs accruing technical debt</t>
  </si>
  <si>
    <t>UI Addition (WPF)</t>
  </si>
  <si>
    <t>Adding graphical interface to command-line calculator</t>
  </si>
  <si>
    <t>UI Test Automation</t>
  </si>
  <si>
    <t>Generating automated UI tests with headless testing</t>
  </si>
  <si>
    <t>Code Quality Analysis</t>
  </si>
  <si>
    <t>AI audit to identify technical debt and code quality issues</t>
  </si>
  <si>
    <t>D1.1L1</t>
  </si>
  <si>
    <t>D1.1L2</t>
  </si>
  <si>
    <t>D1.1L3</t>
  </si>
  <si>
    <t>D1.1L5</t>
  </si>
  <si>
    <t>Lab 7: Dependency Management &amp; Troubleshooting</t>
  </si>
  <si>
    <t>Lab 8: Best Practices Review &amp; Code Quality</t>
  </si>
  <si>
    <t>Lab 9: Model Comparison Exercise</t>
  </si>
  <si>
    <t>Lab 10: Chat Management &amp; Workflow</t>
  </si>
  <si>
    <t>Bonus Lab: Mob Programming Setup</t>
  </si>
  <si>
    <t>Lab 1: CI/CD Pipeline Creation</t>
  </si>
  <si>
    <t>Lab 2: Test Coverage Improvement</t>
  </si>
  <si>
    <t>Lab 3: Test-Driven Development (TDD) with Copilot</t>
  </si>
  <si>
    <t>Lab 4: Integration Testing</t>
  </si>
  <si>
    <t>Lab 5: Advanced Features with Scientific Operations</t>
  </si>
  <si>
    <t>Lab 6: Building a User Interface</t>
  </si>
  <si>
    <t>Lab 7: Cross-Project Bug Tracking</t>
  </si>
  <si>
    <t>Lab 8: Controlling Copilot Output Verbosity</t>
  </si>
  <si>
    <t>Lab 9: Evergreen Software Analysis</t>
  </si>
  <si>
    <t>Lab 10: Preventing Technical Debt in CI/CD</t>
  </si>
  <si>
    <t>Lab 11: Git Branch Management with Copilot</t>
  </si>
  <si>
    <t>Lab 12: GitHub Issues Generation</t>
  </si>
  <si>
    <t>10:00:00 AM</t>
  </si>
  <si>
    <t>Slides</t>
  </si>
  <si>
    <t>2,3</t>
  </si>
  <si>
    <t>4,5</t>
  </si>
  <si>
    <t>6</t>
  </si>
  <si>
    <t>7,8</t>
  </si>
  <si>
    <t>9,10</t>
  </si>
  <si>
    <t>11-13</t>
  </si>
  <si>
    <t>14</t>
  </si>
  <si>
    <t>Using Copilot in different modes</t>
  </si>
  <si>
    <t>Name</t>
  </si>
  <si>
    <t>Capabilities</t>
  </si>
  <si>
    <t>Claude Haiku 4.5</t>
  </si>
  <si>
    <t>Tools, Vision</t>
  </si>
  <si>
    <t>0.33x</t>
  </si>
  <si>
    <t>Claude Opus 4.1</t>
  </si>
  <si>
    <t>Vision</t>
  </si>
  <si>
    <t>10x</t>
  </si>
  <si>
    <t>Claude Opus 4.5</t>
  </si>
  <si>
    <t>3x</t>
  </si>
  <si>
    <t>Claude Sonnet 4</t>
  </si>
  <si>
    <t>1x</t>
  </si>
  <si>
    <t>Claude Sonnet 4.5</t>
  </si>
  <si>
    <t>Gemini 3 Flash (Preview)</t>
  </si>
  <si>
    <t>Gemini 3 Pro (Preview)</t>
  </si>
  <si>
    <t>GPT-4.1</t>
  </si>
  <si>
    <t>0x</t>
  </si>
  <si>
    <t>GPT-4o</t>
  </si>
  <si>
    <t>GPT-5</t>
  </si>
  <si>
    <t>GPT-5 mini</t>
  </si>
  <si>
    <t>GPT-5-Codex (Preview)</t>
  </si>
  <si>
    <t>GPT-5.1</t>
  </si>
  <si>
    <t>GPT-5.1-Codex</t>
  </si>
  <si>
    <t>GPT-5.1-Codex-Max</t>
  </si>
  <si>
    <t>GPT-5.1-Codex-Mini (Preview)</t>
  </si>
  <si>
    <t>GPT-5.2</t>
  </si>
  <si>
    <t>GPT-5.2-Codex</t>
  </si>
  <si>
    <t>Grok Code Fast 1</t>
  </si>
  <si>
    <t>Tools</t>
  </si>
  <si>
    <t>Raptor mini (Preview)</t>
  </si>
  <si>
    <t>Multiplier</t>
  </si>
  <si>
    <t>Input Context Size</t>
  </si>
  <si>
    <t>Output Context Size</t>
  </si>
  <si>
    <t>16K</t>
  </si>
  <si>
    <t>64K</t>
  </si>
  <si>
    <t>4K</t>
  </si>
  <si>
    <t>128K</t>
  </si>
  <si>
    <t>109K</t>
  </si>
  <si>
    <t>111K</t>
  </si>
  <si>
    <t>272K</t>
  </si>
  <si>
    <t>200K</t>
  </si>
  <si>
    <t>68K</t>
  </si>
  <si>
    <t>Gemini 2.5 P Gemini 3 Flash (Preview)</t>
  </si>
  <si>
    <t>15-21</t>
  </si>
  <si>
    <t>22-31</t>
  </si>
  <si>
    <t>32,33</t>
  </si>
  <si>
    <t>34</t>
  </si>
  <si>
    <t>35</t>
  </si>
  <si>
    <t>36</t>
  </si>
  <si>
    <t>37</t>
  </si>
  <si>
    <t>38</t>
  </si>
  <si>
    <t>Break</t>
  </si>
  <si>
    <t>39-51</t>
  </si>
  <si>
    <t>D1.1L6</t>
  </si>
  <si>
    <t>52</t>
  </si>
  <si>
    <t>53</t>
  </si>
  <si>
    <t>54</t>
  </si>
  <si>
    <t>55</t>
  </si>
  <si>
    <t>D1.1L7</t>
  </si>
  <si>
    <t>56</t>
  </si>
  <si>
    <t>D1.1L8</t>
  </si>
  <si>
    <t>57</t>
  </si>
  <si>
    <t>D1.2L9</t>
  </si>
  <si>
    <t>`</t>
  </si>
  <si>
    <t>58</t>
  </si>
  <si>
    <t>59</t>
  </si>
  <si>
    <t>Lab: Getting Started with GitHub Copilot</t>
  </si>
  <si>
    <t>Lab: Understanding Context Management</t>
  </si>
  <si>
    <t>Lab: Exploring Copilot Modes</t>
  </si>
  <si>
    <t>Lab: Calculator Project - Setup &amp; Basic Implementation</t>
  </si>
  <si>
    <t>Lab: Calculator Project - Testing</t>
  </si>
  <si>
    <t>Lab: Code Coverage Analysis</t>
  </si>
  <si>
    <t>Lab: Dependency Management &amp; Troubleshooting</t>
  </si>
  <si>
    <t>Lab: Best Practices Review &amp; Code Quality</t>
  </si>
  <si>
    <t>Lab: Model Comparison Exercise</t>
  </si>
  <si>
    <t>Lab: Chat Management &amp; Workflow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</si>
</sst>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numFmt numFmtId="164" formatCode="[$-F400]h:mm:ss\ AM/PM"/>
    </dxf>
    <dxf>
      <numFmt numFmtId="164" formatCode="[$-F400]h:mm:ss\ AM/PM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16F20E-264C-43C7-A443-23C5FDA686B8}" name="Table1" displayName="Table1" ref="A2:F25" totalsRowShown="0">
  <autoFilter ref="A2:F25" xr:uid="{3016F20E-264C-43C7-A443-23C5FDA686B8}"/>
  <tableColumns count="6">
    <tableColumn id="1" xr3:uid="{A75B6F1D-681D-4ADC-ABFF-3F06B5D91987}" name="Day"/>
    <tableColumn id="6" xr3:uid="{3940EEFB-0C09-45BD-BAD5-6854D3FAAC21}" name="Order"/>
    <tableColumn id="2" xr3:uid="{E9C5BA36-BFB0-48DB-94EC-FAC0C4B841E2}" name="Type"/>
    <tableColumn id="3" xr3:uid="{CBE9B47F-FB33-44BE-A877-7A22A017893A}" name="Title"/>
    <tableColumn id="4" xr3:uid="{FC4D6A87-081D-44B2-9013-E1FB62B61FFA}" name="Min"/>
    <tableColumn id="5" xr3:uid="{CE1021C3-3428-44BB-9E54-B0EB98807797}" name="Ma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A7F544-4367-4018-8DC9-81CA31EC2612}" name="Table2" displayName="Table2" ref="B2:I40" totalsRowShown="0">
  <autoFilter ref="B2:I40" xr:uid="{A2A7F544-4367-4018-8DC9-81CA31EC2612}"/>
  <tableColumns count="8">
    <tableColumn id="1" xr3:uid="{9D61239E-9B4A-4932-AB0D-EB9D9921B03D}" name="Topic"/>
    <tableColumn id="8" xr3:uid="{7C601EFF-73C1-48D2-9899-1BA97C5E4E01}" name="Slides" dataDxfId="3"/>
    <tableColumn id="2" xr3:uid="{0A871F54-D7C8-4B3D-B729-76E89ECAA212}" name="Lab"/>
    <tableColumn id="3" xr3:uid="{5D9FB1AF-1CBF-4F26-9821-18A42EEA3441}" name="Type"/>
    <tableColumn id="4" xr3:uid="{CF6246D8-1B6E-46F2-8EF3-564EEFD687CC}" name="Start Time" dataDxfId="2"/>
    <tableColumn id="5" xr3:uid="{8B6AF1D4-2216-4B85-BA7D-212BA502015B}" name="Duration"/>
    <tableColumn id="6" xr3:uid="{FC719AB4-7DA0-4CF0-A12A-95985F5C6D2E}" name="Description"/>
    <tableColumn id="7" xr3:uid="{3FD97CAC-BAE8-4A66-B92F-17907FB235F2}" name="10:00:00 AM" dataDxfId="1">
      <calculatedColumnFormula>I2 + (G2/ 1440)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46CC54-37D1-42B0-BB05-0C3BACABC428}" name="Table3" displayName="Table3" ref="B2:F23" totalsRowShown="0" headerRowDxfId="0">
  <autoFilter ref="B2:F23" xr:uid="{B346CC54-37D1-42B0-BB05-0C3BACABC428}"/>
  <tableColumns count="5">
    <tableColumn id="1" xr3:uid="{62AD6A77-62F6-4BEF-B8DC-F9EAE5AB2C77}" name="Name"/>
    <tableColumn id="2" xr3:uid="{5D29E9BF-43B9-4FD2-A1E6-2D8546EC3344}" name="Input Context Size"/>
    <tableColumn id="3" xr3:uid="{252F2F0D-76A4-4785-A255-5F5174620BE4}" name="Output Context Size"/>
    <tableColumn id="4" xr3:uid="{423BF7C4-987A-48F7-9A43-DDB00CA9F638}" name="Capabilities"/>
    <tableColumn id="5" xr3:uid="{E40612D6-D465-4F81-9C79-DA82BA64A860}" name="Multipl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CAC0-363F-4199-8EBC-26728DCAB77E}">
  <dimension ref="A2:H26"/>
  <sheetViews>
    <sheetView workbookViewId="0">
      <selection activeCell="B3" sqref="B3"/>
    </sheetView>
  </sheetViews>
  <sheetFormatPr defaultRowHeight="14.5" x14ac:dyDescent="0.35"/>
  <cols>
    <col min="1" max="3" width="10.26953125" customWidth="1"/>
    <col min="4" max="4" width="48.08984375" bestFit="1" customWidth="1"/>
    <col min="5" max="5" width="10.81640625" bestFit="1" customWidth="1"/>
    <col min="6" max="6" width="10.26953125" customWidth="1"/>
  </cols>
  <sheetData>
    <row r="2" spans="1:8" x14ac:dyDescent="0.35">
      <c r="A2" t="s">
        <v>36</v>
      </c>
      <c r="B2" t="s">
        <v>44</v>
      </c>
      <c r="C2" t="s">
        <v>37</v>
      </c>
      <c r="D2" t="s">
        <v>38</v>
      </c>
      <c r="E2" t="s">
        <v>39</v>
      </c>
      <c r="F2" t="s">
        <v>40</v>
      </c>
    </row>
    <row r="3" spans="1:8" x14ac:dyDescent="0.35">
      <c r="A3" t="s">
        <v>9</v>
      </c>
      <c r="C3" t="s">
        <v>42</v>
      </c>
      <c r="D3" t="s">
        <v>1</v>
      </c>
      <c r="E3">
        <v>20</v>
      </c>
      <c r="F3">
        <v>30</v>
      </c>
    </row>
    <row r="4" spans="1:8" x14ac:dyDescent="0.35">
      <c r="A4" t="s">
        <v>9</v>
      </c>
      <c r="C4" t="s">
        <v>42</v>
      </c>
      <c r="D4" t="s">
        <v>10</v>
      </c>
      <c r="E4">
        <v>30</v>
      </c>
      <c r="F4">
        <v>40</v>
      </c>
    </row>
    <row r="5" spans="1:8" x14ac:dyDescent="0.35">
      <c r="A5" t="s">
        <v>9</v>
      </c>
      <c r="C5" t="s">
        <v>42</v>
      </c>
      <c r="D5" t="s">
        <v>11</v>
      </c>
      <c r="E5">
        <v>30</v>
      </c>
      <c r="F5">
        <v>40</v>
      </c>
    </row>
    <row r="6" spans="1:8" x14ac:dyDescent="0.35">
      <c r="A6" t="s">
        <v>9</v>
      </c>
      <c r="C6" t="s">
        <v>41</v>
      </c>
      <c r="D6" t="s">
        <v>12</v>
      </c>
      <c r="E6">
        <v>45</v>
      </c>
      <c r="F6">
        <v>60</v>
      </c>
    </row>
    <row r="7" spans="1:8" x14ac:dyDescent="0.35">
      <c r="A7" t="s">
        <v>9</v>
      </c>
      <c r="C7" t="s">
        <v>41</v>
      </c>
      <c r="D7" t="s">
        <v>13</v>
      </c>
      <c r="E7">
        <v>45</v>
      </c>
      <c r="F7">
        <v>60</v>
      </c>
    </row>
    <row r="8" spans="1:8" x14ac:dyDescent="0.35">
      <c r="A8" t="s">
        <v>9</v>
      </c>
      <c r="C8" t="s">
        <v>41</v>
      </c>
      <c r="D8" t="s">
        <v>14</v>
      </c>
      <c r="E8">
        <v>30</v>
      </c>
      <c r="F8">
        <v>40</v>
      </c>
    </row>
    <row r="9" spans="1:8" x14ac:dyDescent="0.35">
      <c r="A9" t="s">
        <v>9</v>
      </c>
      <c r="C9" t="s">
        <v>41</v>
      </c>
      <c r="D9" t="s">
        <v>15</v>
      </c>
      <c r="E9">
        <v>30</v>
      </c>
      <c r="F9">
        <v>40</v>
      </c>
    </row>
    <row r="10" spans="1:8" x14ac:dyDescent="0.35">
      <c r="A10" t="s">
        <v>9</v>
      </c>
      <c r="C10" t="s">
        <v>34</v>
      </c>
      <c r="D10" t="s">
        <v>16</v>
      </c>
      <c r="E10">
        <v>30</v>
      </c>
      <c r="F10">
        <v>40</v>
      </c>
      <c r="H10" t="s">
        <v>43</v>
      </c>
    </row>
    <row r="11" spans="1:8" x14ac:dyDescent="0.35">
      <c r="A11" t="s">
        <v>9</v>
      </c>
      <c r="C11" t="s">
        <v>35</v>
      </c>
      <c r="D11" t="s">
        <v>17</v>
      </c>
      <c r="E11">
        <v>20</v>
      </c>
      <c r="F11">
        <v>30</v>
      </c>
    </row>
    <row r="12" spans="1:8" x14ac:dyDescent="0.35">
      <c r="A12" t="s">
        <v>9</v>
      </c>
      <c r="C12" t="s">
        <v>35</v>
      </c>
      <c r="D12" t="s">
        <v>18</v>
      </c>
      <c r="E12">
        <v>20</v>
      </c>
      <c r="F12">
        <v>30</v>
      </c>
    </row>
    <row r="13" spans="1:8" x14ac:dyDescent="0.35">
      <c r="A13" t="s">
        <v>9</v>
      </c>
      <c r="C13" t="s">
        <v>19</v>
      </c>
      <c r="D13" t="s">
        <v>20</v>
      </c>
      <c r="E13">
        <v>15</v>
      </c>
      <c r="F13">
        <v>20</v>
      </c>
    </row>
    <row r="14" spans="1:8" x14ac:dyDescent="0.35">
      <c r="A14" t="s">
        <v>21</v>
      </c>
      <c r="C14" t="s">
        <v>0</v>
      </c>
      <c r="D14" t="s">
        <v>22</v>
      </c>
      <c r="E14">
        <v>45</v>
      </c>
      <c r="F14">
        <v>60</v>
      </c>
    </row>
    <row r="15" spans="1:8" x14ac:dyDescent="0.35">
      <c r="A15" t="s">
        <v>21</v>
      </c>
      <c r="C15" t="s">
        <v>2</v>
      </c>
      <c r="D15" t="s">
        <v>23</v>
      </c>
      <c r="E15">
        <v>30</v>
      </c>
      <c r="F15">
        <v>45</v>
      </c>
    </row>
    <row r="16" spans="1:8" x14ac:dyDescent="0.35">
      <c r="A16" t="s">
        <v>21</v>
      </c>
      <c r="C16" t="s">
        <v>3</v>
      </c>
      <c r="D16" t="s">
        <v>24</v>
      </c>
      <c r="E16">
        <v>45</v>
      </c>
      <c r="F16">
        <v>60</v>
      </c>
    </row>
    <row r="17" spans="1:6" x14ac:dyDescent="0.35">
      <c r="A17" t="s">
        <v>21</v>
      </c>
      <c r="C17" t="s">
        <v>4</v>
      </c>
      <c r="D17" t="s">
        <v>25</v>
      </c>
      <c r="E17">
        <v>30</v>
      </c>
      <c r="F17">
        <v>45</v>
      </c>
    </row>
    <row r="18" spans="1:6" x14ac:dyDescent="0.35">
      <c r="A18" t="s">
        <v>21</v>
      </c>
      <c r="C18" t="s">
        <v>5</v>
      </c>
      <c r="D18" t="s">
        <v>26</v>
      </c>
      <c r="E18">
        <v>45</v>
      </c>
      <c r="F18">
        <v>60</v>
      </c>
    </row>
    <row r="19" spans="1:6" x14ac:dyDescent="0.35">
      <c r="A19" t="s">
        <v>21</v>
      </c>
      <c r="C19" t="s">
        <v>6</v>
      </c>
      <c r="D19" t="s">
        <v>27</v>
      </c>
      <c r="E19">
        <v>60</v>
      </c>
      <c r="F19">
        <v>90</v>
      </c>
    </row>
    <row r="20" spans="1:6" x14ac:dyDescent="0.35">
      <c r="A20" t="s">
        <v>21</v>
      </c>
      <c r="C20" t="s">
        <v>7</v>
      </c>
      <c r="D20" t="s">
        <v>28</v>
      </c>
      <c r="E20">
        <v>30</v>
      </c>
      <c r="F20">
        <v>40</v>
      </c>
    </row>
    <row r="21" spans="1:6" x14ac:dyDescent="0.35">
      <c r="A21" t="s">
        <v>21</v>
      </c>
      <c r="C21" t="s">
        <v>8</v>
      </c>
      <c r="D21" t="s">
        <v>29</v>
      </c>
      <c r="E21">
        <v>15</v>
      </c>
      <c r="F21">
        <v>20</v>
      </c>
    </row>
    <row r="22" spans="1:6" x14ac:dyDescent="0.35">
      <c r="A22" t="s">
        <v>21</v>
      </c>
      <c r="C22" t="s">
        <v>35</v>
      </c>
      <c r="D22" t="s">
        <v>30</v>
      </c>
      <c r="E22">
        <v>45</v>
      </c>
      <c r="F22">
        <v>60</v>
      </c>
    </row>
    <row r="23" spans="1:6" x14ac:dyDescent="0.35">
      <c r="A23" t="s">
        <v>21</v>
      </c>
      <c r="C23" t="s">
        <v>34</v>
      </c>
      <c r="D23" t="s">
        <v>31</v>
      </c>
      <c r="E23">
        <v>30</v>
      </c>
      <c r="F23">
        <v>45</v>
      </c>
    </row>
    <row r="24" spans="1:6" x14ac:dyDescent="0.35">
      <c r="A24" t="s">
        <v>21</v>
      </c>
      <c r="C24" t="s">
        <v>35</v>
      </c>
      <c r="D24" t="s">
        <v>32</v>
      </c>
      <c r="E24">
        <v>20</v>
      </c>
      <c r="F24">
        <v>30</v>
      </c>
    </row>
    <row r="25" spans="1:6" x14ac:dyDescent="0.35">
      <c r="A25" t="s">
        <v>21</v>
      </c>
      <c r="C25" t="s">
        <v>34</v>
      </c>
      <c r="D25" t="s">
        <v>33</v>
      </c>
      <c r="E25">
        <v>20</v>
      </c>
      <c r="F25">
        <v>30</v>
      </c>
    </row>
    <row r="26" spans="1:6" x14ac:dyDescent="0.35">
      <c r="E26" s="1">
        <f>SUM(E3:E25)/60</f>
        <v>12.166666666666666</v>
      </c>
      <c r="F26" s="1">
        <f>SUM(F3:F25)/60</f>
        <v>16.916666666666668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EB54-2E02-4CB7-9831-8B22CDCFE359}">
  <dimension ref="B2:I63"/>
  <sheetViews>
    <sheetView tabSelected="1" topLeftCell="B16" workbookViewId="0">
      <selection activeCell="B28" sqref="B28"/>
    </sheetView>
  </sheetViews>
  <sheetFormatPr defaultRowHeight="14.5" x14ac:dyDescent="0.35"/>
  <cols>
    <col min="2" max="2" width="53.36328125" bestFit="1" customWidth="1"/>
    <col min="3" max="3" width="8.26953125" style="3" bestFit="1" customWidth="1"/>
    <col min="4" max="4" width="6.54296875" bestFit="1" customWidth="1"/>
    <col min="5" max="5" width="6.6328125" customWidth="1"/>
    <col min="6" max="6" width="11.08984375" style="2" hidden="1" customWidth="1"/>
    <col min="7" max="7" width="9.81640625" customWidth="1"/>
    <col min="8" max="8" width="79.453125" bestFit="1" customWidth="1"/>
    <col min="9" max="9" width="12.90625" style="2" customWidth="1"/>
  </cols>
  <sheetData>
    <row r="2" spans="2:9" x14ac:dyDescent="0.35">
      <c r="B2" t="s">
        <v>45</v>
      </c>
      <c r="C2" s="3" t="s">
        <v>123</v>
      </c>
      <c r="D2" t="s">
        <v>35</v>
      </c>
      <c r="E2" t="s">
        <v>37</v>
      </c>
      <c r="F2" s="2" t="s">
        <v>46</v>
      </c>
      <c r="G2" t="s">
        <v>47</v>
      </c>
      <c r="H2" t="s">
        <v>48</v>
      </c>
      <c r="I2" s="2" t="s">
        <v>122</v>
      </c>
    </row>
    <row r="3" spans="2:9" x14ac:dyDescent="0.35">
      <c r="B3" t="s">
        <v>49</v>
      </c>
      <c r="C3" s="3" t="s">
        <v>124</v>
      </c>
      <c r="F3" s="2">
        <v>0</v>
      </c>
      <c r="G3">
        <v>4</v>
      </c>
      <c r="H3" t="s">
        <v>50</v>
      </c>
      <c r="I3" s="2" t="str">
        <f>I2</f>
        <v>10:00:00 AM</v>
      </c>
    </row>
    <row r="4" spans="2:9" x14ac:dyDescent="0.35">
      <c r="B4" t="s">
        <v>51</v>
      </c>
      <c r="C4" s="3" t="s">
        <v>125</v>
      </c>
      <c r="F4" s="2">
        <v>2.7777777777777779E-3</v>
      </c>
      <c r="G4">
        <v>3</v>
      </c>
      <c r="H4" t="s">
        <v>52</v>
      </c>
      <c r="I4" s="2">
        <f>I3 + (G3/ 1440)</f>
        <v>0.41944444444444445</v>
      </c>
    </row>
    <row r="5" spans="2:9" x14ac:dyDescent="0.35">
      <c r="B5" t="s">
        <v>53</v>
      </c>
      <c r="C5" s="3" t="s">
        <v>126</v>
      </c>
      <c r="F5" s="2">
        <v>4.8611111111111112E-3</v>
      </c>
      <c r="G5">
        <v>2</v>
      </c>
      <c r="H5" t="s">
        <v>54</v>
      </c>
      <c r="I5" s="2">
        <f t="shared" ref="I5:I40" si="0">I4 + (G4/ 1440)</f>
        <v>0.42152777777777778</v>
      </c>
    </row>
    <row r="6" spans="2:9" x14ac:dyDescent="0.35">
      <c r="B6" t="s">
        <v>55</v>
      </c>
      <c r="C6" s="3" t="s">
        <v>127</v>
      </c>
      <c r="F6" s="2">
        <v>6.2500000000000003E-3</v>
      </c>
      <c r="G6">
        <v>5</v>
      </c>
      <c r="H6" t="s">
        <v>56</v>
      </c>
      <c r="I6" s="2">
        <f t="shared" si="0"/>
        <v>0.42291666666666666</v>
      </c>
    </row>
    <row r="7" spans="2:9" x14ac:dyDescent="0.35">
      <c r="B7" t="s">
        <v>57</v>
      </c>
      <c r="C7" s="3" t="s">
        <v>128</v>
      </c>
      <c r="F7" s="2">
        <v>9.7222222222222224E-3</v>
      </c>
      <c r="G7">
        <v>3</v>
      </c>
      <c r="H7" t="s">
        <v>58</v>
      </c>
      <c r="I7" s="2">
        <f t="shared" si="0"/>
        <v>0.42638888888888887</v>
      </c>
    </row>
    <row r="8" spans="2:9" x14ac:dyDescent="0.35">
      <c r="B8" t="s">
        <v>59</v>
      </c>
      <c r="C8" s="3" t="s">
        <v>129</v>
      </c>
      <c r="F8" s="2">
        <v>1.1805555555555555E-2</v>
      </c>
      <c r="G8">
        <v>5</v>
      </c>
      <c r="H8" t="s">
        <v>60</v>
      </c>
      <c r="I8" s="2">
        <f t="shared" si="0"/>
        <v>0.4284722222222222</v>
      </c>
    </row>
    <row r="9" spans="2:9" x14ac:dyDescent="0.35">
      <c r="B9" t="s">
        <v>61</v>
      </c>
      <c r="C9" s="3" t="s">
        <v>130</v>
      </c>
      <c r="F9" s="2">
        <v>1.5277777777777777E-2</v>
      </c>
      <c r="G9">
        <v>3</v>
      </c>
      <c r="H9" t="s">
        <v>62</v>
      </c>
      <c r="I9" s="2">
        <f t="shared" si="0"/>
        <v>0.43194444444444441</v>
      </c>
    </row>
    <row r="10" spans="2:9" x14ac:dyDescent="0.35">
      <c r="B10" t="s">
        <v>63</v>
      </c>
      <c r="C10" s="3" t="s">
        <v>175</v>
      </c>
      <c r="F10" s="2">
        <v>1.7361111111111112E-2</v>
      </c>
      <c r="G10">
        <v>4</v>
      </c>
      <c r="H10" t="s">
        <v>68</v>
      </c>
      <c r="I10" s="2">
        <f t="shared" si="0"/>
        <v>0.43402777777777773</v>
      </c>
    </row>
    <row r="11" spans="2:9" x14ac:dyDescent="0.35">
      <c r="B11" t="s">
        <v>64</v>
      </c>
      <c r="C11" s="3" t="s">
        <v>176</v>
      </c>
      <c r="F11" s="2">
        <v>2.013888888888889E-2</v>
      </c>
      <c r="G11">
        <v>8</v>
      </c>
      <c r="H11" t="s">
        <v>65</v>
      </c>
      <c r="I11" s="2">
        <f t="shared" si="0"/>
        <v>0.4368055555555555</v>
      </c>
    </row>
    <row r="12" spans="2:9" x14ac:dyDescent="0.35">
      <c r="B12" t="s">
        <v>66</v>
      </c>
      <c r="C12" s="3" t="s">
        <v>177</v>
      </c>
      <c r="F12" s="2">
        <v>2.5694444444444443E-2</v>
      </c>
      <c r="G12">
        <v>14</v>
      </c>
      <c r="H12" t="s">
        <v>67</v>
      </c>
      <c r="I12" s="2">
        <f t="shared" si="0"/>
        <v>0.44236111111111104</v>
      </c>
    </row>
    <row r="13" spans="2:9" x14ac:dyDescent="0.35">
      <c r="B13" t="s">
        <v>198</v>
      </c>
      <c r="C13" s="3" t="s">
        <v>178</v>
      </c>
      <c r="D13" t="s">
        <v>101</v>
      </c>
      <c r="E13" t="s">
        <v>42</v>
      </c>
      <c r="G13">
        <v>1</v>
      </c>
      <c r="I13" s="2">
        <f t="shared" si="0"/>
        <v>0.45208333333333328</v>
      </c>
    </row>
    <row r="14" spans="2:9" x14ac:dyDescent="0.35">
      <c r="B14" t="s">
        <v>199</v>
      </c>
      <c r="C14" s="3" t="s">
        <v>179</v>
      </c>
      <c r="D14" t="s">
        <v>102</v>
      </c>
      <c r="E14" t="s">
        <v>42</v>
      </c>
      <c r="G14">
        <v>1</v>
      </c>
      <c r="I14" s="2">
        <f t="shared" si="0"/>
        <v>0.45277777777777772</v>
      </c>
    </row>
    <row r="15" spans="2:9" x14ac:dyDescent="0.35">
      <c r="B15" t="s">
        <v>131</v>
      </c>
      <c r="C15" s="3" t="s">
        <v>180</v>
      </c>
      <c r="G15">
        <v>11</v>
      </c>
      <c r="I15" s="2">
        <f t="shared" si="0"/>
        <v>0.45347222222222217</v>
      </c>
    </row>
    <row r="16" spans="2:9" x14ac:dyDescent="0.35">
      <c r="B16" t="s">
        <v>200</v>
      </c>
      <c r="C16" s="3" t="s">
        <v>181</v>
      </c>
      <c r="D16" t="s">
        <v>103</v>
      </c>
      <c r="E16" t="s">
        <v>42</v>
      </c>
      <c r="G16">
        <v>1</v>
      </c>
      <c r="I16" s="2">
        <f t="shared" si="0"/>
        <v>0.46111111111111103</v>
      </c>
    </row>
    <row r="17" spans="2:9" x14ac:dyDescent="0.35">
      <c r="B17" t="s">
        <v>75</v>
      </c>
      <c r="C17" s="3" t="s">
        <v>182</v>
      </c>
      <c r="F17" s="2">
        <v>0</v>
      </c>
      <c r="G17">
        <v>7</v>
      </c>
      <c r="H17" t="s">
        <v>76</v>
      </c>
      <c r="I17" s="2">
        <f t="shared" si="0"/>
        <v>0.46180555555555547</v>
      </c>
    </row>
    <row r="18" spans="2:9" x14ac:dyDescent="0.35">
      <c r="B18" t="s">
        <v>71</v>
      </c>
      <c r="C18" s="3" t="s">
        <v>184</v>
      </c>
      <c r="E18" t="s">
        <v>41</v>
      </c>
      <c r="F18" s="2">
        <v>5.4166666666666669E-2</v>
      </c>
      <c r="G18">
        <v>30</v>
      </c>
      <c r="H18" t="s">
        <v>72</v>
      </c>
      <c r="I18" s="2">
        <f t="shared" si="0"/>
        <v>0.46666666666666656</v>
      </c>
    </row>
    <row r="19" spans="2:9" x14ac:dyDescent="0.35">
      <c r="B19" t="s">
        <v>109</v>
      </c>
      <c r="C19" s="3" t="s">
        <v>186</v>
      </c>
      <c r="I19" s="2">
        <f>I18 + (G18/ 1440)</f>
        <v>0.48749999999999988</v>
      </c>
    </row>
    <row r="20" spans="2:9" x14ac:dyDescent="0.35">
      <c r="B20" t="s">
        <v>183</v>
      </c>
      <c r="G20">
        <v>15</v>
      </c>
      <c r="I20" s="2">
        <f>I18 + (G18/ 1440)</f>
        <v>0.48749999999999988</v>
      </c>
    </row>
    <row r="21" spans="2:9" x14ac:dyDescent="0.35">
      <c r="B21" t="s">
        <v>201</v>
      </c>
      <c r="C21" s="3" t="s">
        <v>187</v>
      </c>
      <c r="D21" t="s">
        <v>195</v>
      </c>
      <c r="E21" t="s">
        <v>41</v>
      </c>
      <c r="G21">
        <v>30</v>
      </c>
      <c r="H21" t="s">
        <v>73</v>
      </c>
      <c r="I21" s="2">
        <f t="shared" si="0"/>
        <v>0.49791666666666656</v>
      </c>
    </row>
    <row r="22" spans="2:9" x14ac:dyDescent="0.35">
      <c r="B22" t="s">
        <v>202</v>
      </c>
      <c r="C22" s="3" t="s">
        <v>188</v>
      </c>
      <c r="D22" t="s">
        <v>104</v>
      </c>
      <c r="E22" t="s">
        <v>41</v>
      </c>
      <c r="G22">
        <v>30</v>
      </c>
      <c r="H22" t="s">
        <v>74</v>
      </c>
      <c r="I22" s="2">
        <f t="shared" si="0"/>
        <v>0.51874999999999993</v>
      </c>
    </row>
    <row r="23" spans="2:9" x14ac:dyDescent="0.35">
      <c r="B23" t="s">
        <v>203</v>
      </c>
      <c r="C23" s="3" t="s">
        <v>189</v>
      </c>
      <c r="D23" t="s">
        <v>185</v>
      </c>
      <c r="E23" t="s">
        <v>41</v>
      </c>
      <c r="G23">
        <v>10</v>
      </c>
      <c r="H23" t="s">
        <v>77</v>
      </c>
      <c r="I23" s="2">
        <f t="shared" si="0"/>
        <v>0.5395833333333333</v>
      </c>
    </row>
    <row r="24" spans="2:9" x14ac:dyDescent="0.35">
      <c r="B24" t="s">
        <v>204</v>
      </c>
      <c r="C24" s="3" t="s">
        <v>191</v>
      </c>
      <c r="D24" t="s">
        <v>190</v>
      </c>
      <c r="E24" t="s">
        <v>41</v>
      </c>
      <c r="G24">
        <v>10</v>
      </c>
      <c r="I24" s="2">
        <f t="shared" si="0"/>
        <v>0.54652777777777772</v>
      </c>
    </row>
    <row r="25" spans="2:9" x14ac:dyDescent="0.35">
      <c r="B25" t="s">
        <v>205</v>
      </c>
      <c r="C25" s="3" t="s">
        <v>193</v>
      </c>
      <c r="D25" t="s">
        <v>192</v>
      </c>
      <c r="E25" t="s">
        <v>41</v>
      </c>
      <c r="G25">
        <v>10</v>
      </c>
      <c r="I25" s="2">
        <f>I24 + (G24/ 1440)</f>
        <v>0.55347222222222214</v>
      </c>
    </row>
    <row r="26" spans="2:9" x14ac:dyDescent="0.35">
      <c r="B26" t="s">
        <v>206</v>
      </c>
      <c r="C26" s="3" t="s">
        <v>196</v>
      </c>
      <c r="D26" t="s">
        <v>194</v>
      </c>
      <c r="G26">
        <v>10</v>
      </c>
      <c r="I26" s="2">
        <f>I25 + (G25/ 1440)</f>
        <v>0.56041666666666656</v>
      </c>
    </row>
    <row r="27" spans="2:9" x14ac:dyDescent="0.35">
      <c r="B27" t="s">
        <v>207</v>
      </c>
      <c r="C27" s="3" t="s">
        <v>197</v>
      </c>
      <c r="I27" s="2">
        <f>I26 + (G26/ 1440)</f>
        <v>0.56736111111111098</v>
      </c>
    </row>
    <row r="28" spans="2:9" x14ac:dyDescent="0.35">
      <c r="B28" t="s">
        <v>22</v>
      </c>
      <c r="F28" s="2">
        <v>1.2500000000000001E-2</v>
      </c>
      <c r="G28">
        <v>25</v>
      </c>
      <c r="H28" t="s">
        <v>78</v>
      </c>
      <c r="I28" s="2">
        <f>I24 + (G24/ 1440)</f>
        <v>0.55347222222222214</v>
      </c>
    </row>
    <row r="29" spans="2:9" x14ac:dyDescent="0.35">
      <c r="B29" t="s">
        <v>79</v>
      </c>
      <c r="F29" s="2">
        <v>2.361111111111111E-2</v>
      </c>
      <c r="G29">
        <v>3</v>
      </c>
      <c r="H29" t="s">
        <v>80</v>
      </c>
      <c r="I29" s="2">
        <f t="shared" si="0"/>
        <v>0.5708333333333333</v>
      </c>
    </row>
    <row r="30" spans="2:9" x14ac:dyDescent="0.35">
      <c r="B30" t="s">
        <v>81</v>
      </c>
      <c r="F30" s="2">
        <v>2.5694444444444443E-2</v>
      </c>
      <c r="G30">
        <v>3</v>
      </c>
      <c r="H30" t="s">
        <v>82</v>
      </c>
      <c r="I30" s="2">
        <f t="shared" si="0"/>
        <v>0.57291666666666663</v>
      </c>
    </row>
    <row r="31" spans="2:9" x14ac:dyDescent="0.35">
      <c r="B31" t="s">
        <v>83</v>
      </c>
      <c r="F31" s="2">
        <v>2.7777777777777776E-2</v>
      </c>
      <c r="G31">
        <v>6</v>
      </c>
      <c r="H31" t="s">
        <v>84</v>
      </c>
      <c r="I31" s="2">
        <f t="shared" si="0"/>
        <v>0.57499999999999996</v>
      </c>
    </row>
    <row r="32" spans="2:9" x14ac:dyDescent="0.35">
      <c r="B32" t="s">
        <v>85</v>
      </c>
      <c r="F32" s="2">
        <v>3.1944444444444442E-2</v>
      </c>
      <c r="G32">
        <v>10</v>
      </c>
      <c r="H32" t="s">
        <v>86</v>
      </c>
      <c r="I32" s="2">
        <f t="shared" si="0"/>
        <v>0.57916666666666661</v>
      </c>
    </row>
    <row r="33" spans="2:9" x14ac:dyDescent="0.35">
      <c r="B33" t="s">
        <v>87</v>
      </c>
      <c r="F33" s="2">
        <v>3.888888888888889E-2</v>
      </c>
      <c r="G33">
        <v>14</v>
      </c>
      <c r="H33" t="s">
        <v>88</v>
      </c>
      <c r="I33" s="2">
        <f t="shared" si="0"/>
        <v>0.58611111111111103</v>
      </c>
    </row>
    <row r="34" spans="2:9" x14ac:dyDescent="0.35">
      <c r="B34" t="s">
        <v>89</v>
      </c>
      <c r="F34" s="2">
        <v>4.8611111111111112E-2</v>
      </c>
      <c r="G34">
        <v>9</v>
      </c>
      <c r="H34" t="s">
        <v>90</v>
      </c>
      <c r="I34" s="2">
        <f t="shared" si="0"/>
        <v>0.59583333333333321</v>
      </c>
    </row>
    <row r="35" spans="2:9" x14ac:dyDescent="0.35">
      <c r="B35" t="s">
        <v>91</v>
      </c>
      <c r="F35" s="2">
        <v>5.486111111111111E-2</v>
      </c>
      <c r="G35">
        <v>6</v>
      </c>
      <c r="H35" t="s">
        <v>92</v>
      </c>
      <c r="I35" s="2">
        <f t="shared" si="0"/>
        <v>0.60208333333333319</v>
      </c>
    </row>
    <row r="36" spans="2:9" x14ac:dyDescent="0.35">
      <c r="B36" t="s">
        <v>93</v>
      </c>
      <c r="F36" s="2">
        <v>5.9027777777777776E-2</v>
      </c>
      <c r="G36">
        <v>8</v>
      </c>
      <c r="H36" t="s">
        <v>94</v>
      </c>
      <c r="I36" s="2">
        <f t="shared" si="0"/>
        <v>0.60624999999999984</v>
      </c>
    </row>
    <row r="37" spans="2:9" x14ac:dyDescent="0.35">
      <c r="B37" t="s">
        <v>95</v>
      </c>
      <c r="F37" s="2">
        <v>6.458333333333334E-2</v>
      </c>
      <c r="G37">
        <v>15</v>
      </c>
      <c r="H37" t="s">
        <v>96</v>
      </c>
      <c r="I37" s="2">
        <f t="shared" si="0"/>
        <v>0.61180555555555538</v>
      </c>
    </row>
    <row r="38" spans="2:9" x14ac:dyDescent="0.35">
      <c r="B38" t="s">
        <v>97</v>
      </c>
      <c r="F38" s="2">
        <v>7.4999999999999997E-2</v>
      </c>
      <c r="G38">
        <v>8</v>
      </c>
      <c r="H38" t="s">
        <v>98</v>
      </c>
      <c r="I38" s="2">
        <f t="shared" si="0"/>
        <v>0.62222222222222201</v>
      </c>
    </row>
    <row r="39" spans="2:9" x14ac:dyDescent="0.35">
      <c r="B39" t="s">
        <v>99</v>
      </c>
      <c r="F39" s="2">
        <v>8.0555555555555561E-2</v>
      </c>
      <c r="G39">
        <v>8</v>
      </c>
      <c r="H39" t="s">
        <v>100</v>
      </c>
      <c r="I39" s="2">
        <f t="shared" si="0"/>
        <v>0.62777777777777755</v>
      </c>
    </row>
    <row r="40" spans="2:9" x14ac:dyDescent="0.35">
      <c r="B40" t="s">
        <v>69</v>
      </c>
      <c r="F40" s="2">
        <v>5.0694444444444445E-2</v>
      </c>
      <c r="G40">
        <v>8</v>
      </c>
      <c r="H40" t="s">
        <v>70</v>
      </c>
      <c r="I40" s="2">
        <f t="shared" si="0"/>
        <v>0.63333333333333308</v>
      </c>
    </row>
    <row r="46" spans="2:9" x14ac:dyDescent="0.35">
      <c r="B46" t="s">
        <v>105</v>
      </c>
    </row>
    <row r="47" spans="2:9" x14ac:dyDescent="0.35">
      <c r="B47" t="s">
        <v>106</v>
      </c>
    </row>
    <row r="48" spans="2:9" x14ac:dyDescent="0.35">
      <c r="B48" t="s">
        <v>107</v>
      </c>
    </row>
    <row r="49" spans="2:2" x14ac:dyDescent="0.35">
      <c r="B49" t="s">
        <v>108</v>
      </c>
    </row>
    <row r="50" spans="2:2" x14ac:dyDescent="0.35">
      <c r="B50" t="s">
        <v>109</v>
      </c>
    </row>
    <row r="52" spans="2:2" x14ac:dyDescent="0.35">
      <c r="B52" t="s">
        <v>110</v>
      </c>
    </row>
    <row r="53" spans="2:2" x14ac:dyDescent="0.35">
      <c r="B53" t="s">
        <v>111</v>
      </c>
    </row>
    <row r="54" spans="2:2" x14ac:dyDescent="0.35">
      <c r="B54" t="s">
        <v>112</v>
      </c>
    </row>
    <row r="55" spans="2:2" x14ac:dyDescent="0.35">
      <c r="B55" t="s">
        <v>113</v>
      </c>
    </row>
    <row r="56" spans="2:2" x14ac:dyDescent="0.35">
      <c r="B56" t="s">
        <v>114</v>
      </c>
    </row>
    <row r="57" spans="2:2" x14ac:dyDescent="0.35">
      <c r="B57" t="s">
        <v>115</v>
      </c>
    </row>
    <row r="58" spans="2:2" x14ac:dyDescent="0.35">
      <c r="B58" t="s">
        <v>116</v>
      </c>
    </row>
    <row r="59" spans="2:2" x14ac:dyDescent="0.35">
      <c r="B59" t="s">
        <v>117</v>
      </c>
    </row>
    <row r="60" spans="2:2" x14ac:dyDescent="0.35">
      <c r="B60" t="s">
        <v>118</v>
      </c>
    </row>
    <row r="61" spans="2:2" x14ac:dyDescent="0.35">
      <c r="B61" t="s">
        <v>119</v>
      </c>
    </row>
    <row r="62" spans="2:2" x14ac:dyDescent="0.35">
      <c r="B62" t="s">
        <v>120</v>
      </c>
    </row>
    <row r="63" spans="2:2" x14ac:dyDescent="0.35">
      <c r="B63" t="s">
        <v>121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EF34-98AE-48C5-A001-B4B3B84DB367}">
  <dimension ref="B2:F23"/>
  <sheetViews>
    <sheetView workbookViewId="0">
      <selection activeCell="F23" sqref="B2:F23"/>
    </sheetView>
  </sheetViews>
  <sheetFormatPr defaultRowHeight="14.5" x14ac:dyDescent="0.35"/>
  <cols>
    <col min="2" max="2" width="31.453125" bestFit="1" customWidth="1"/>
    <col min="3" max="3" width="10" customWidth="1"/>
    <col min="4" max="4" width="8.90625" customWidth="1"/>
    <col min="5" max="5" width="12.453125" customWidth="1"/>
    <col min="6" max="6" width="10.6328125" customWidth="1"/>
  </cols>
  <sheetData>
    <row r="2" spans="2:6" ht="43.5" x14ac:dyDescent="0.35">
      <c r="B2" s="4" t="s">
        <v>132</v>
      </c>
      <c r="C2" s="4" t="s">
        <v>163</v>
      </c>
      <c r="D2" s="4" t="s">
        <v>164</v>
      </c>
      <c r="E2" s="4" t="s">
        <v>133</v>
      </c>
      <c r="F2" s="4" t="s">
        <v>162</v>
      </c>
    </row>
    <row r="3" spans="2:6" x14ac:dyDescent="0.35">
      <c r="B3" t="s">
        <v>134</v>
      </c>
      <c r="C3" t="s">
        <v>168</v>
      </c>
      <c r="D3" t="s">
        <v>165</v>
      </c>
      <c r="E3" t="s">
        <v>135</v>
      </c>
      <c r="F3" t="s">
        <v>136</v>
      </c>
    </row>
    <row r="4" spans="2:6" x14ac:dyDescent="0.35">
      <c r="B4" t="s">
        <v>137</v>
      </c>
      <c r="C4" t="s">
        <v>173</v>
      </c>
      <c r="D4" t="s">
        <v>165</v>
      </c>
      <c r="E4" t="s">
        <v>138</v>
      </c>
      <c r="F4" t="s">
        <v>139</v>
      </c>
    </row>
    <row r="5" spans="2:6" x14ac:dyDescent="0.35">
      <c r="B5" t="s">
        <v>140</v>
      </c>
      <c r="C5" t="s">
        <v>168</v>
      </c>
      <c r="D5" t="s">
        <v>165</v>
      </c>
      <c r="E5" t="s">
        <v>135</v>
      </c>
      <c r="F5" t="s">
        <v>141</v>
      </c>
    </row>
    <row r="6" spans="2:6" x14ac:dyDescent="0.35">
      <c r="B6" t="s">
        <v>142</v>
      </c>
      <c r="C6" t="s">
        <v>168</v>
      </c>
      <c r="D6" t="s">
        <v>165</v>
      </c>
      <c r="E6" t="s">
        <v>135</v>
      </c>
      <c r="F6" t="s">
        <v>143</v>
      </c>
    </row>
    <row r="7" spans="2:6" x14ac:dyDescent="0.35">
      <c r="B7" t="s">
        <v>144</v>
      </c>
      <c r="C7" t="s">
        <v>168</v>
      </c>
      <c r="D7" t="s">
        <v>165</v>
      </c>
      <c r="E7" t="s">
        <v>135</v>
      </c>
      <c r="F7" t="s">
        <v>143</v>
      </c>
    </row>
    <row r="8" spans="2:6" x14ac:dyDescent="0.35">
      <c r="B8" t="s">
        <v>174</v>
      </c>
      <c r="C8" t="s">
        <v>169</v>
      </c>
      <c r="D8" t="s">
        <v>166</v>
      </c>
      <c r="E8" t="s">
        <v>135</v>
      </c>
      <c r="F8" t="s">
        <v>143</v>
      </c>
    </row>
    <row r="9" spans="2:6" x14ac:dyDescent="0.35">
      <c r="B9" t="s">
        <v>145</v>
      </c>
      <c r="C9" t="s">
        <v>169</v>
      </c>
      <c r="D9" t="s">
        <v>166</v>
      </c>
      <c r="E9" t="s">
        <v>135</v>
      </c>
      <c r="F9" t="s">
        <v>136</v>
      </c>
    </row>
    <row r="10" spans="2:6" x14ac:dyDescent="0.35">
      <c r="B10" t="s">
        <v>146</v>
      </c>
      <c r="C10" t="s">
        <v>169</v>
      </c>
      <c r="D10" t="s">
        <v>166</v>
      </c>
      <c r="E10" t="s">
        <v>135</v>
      </c>
      <c r="F10" t="s">
        <v>143</v>
      </c>
    </row>
    <row r="11" spans="2:6" x14ac:dyDescent="0.35">
      <c r="B11" t="s">
        <v>147</v>
      </c>
      <c r="C11" t="s">
        <v>170</v>
      </c>
      <c r="D11" t="s">
        <v>165</v>
      </c>
      <c r="E11" t="s">
        <v>135</v>
      </c>
      <c r="F11" t="s">
        <v>148</v>
      </c>
    </row>
    <row r="12" spans="2:6" x14ac:dyDescent="0.35">
      <c r="B12" t="s">
        <v>149</v>
      </c>
      <c r="C12" t="s">
        <v>166</v>
      </c>
      <c r="D12" t="s">
        <v>167</v>
      </c>
      <c r="E12" t="s">
        <v>135</v>
      </c>
      <c r="F12" t="s">
        <v>148</v>
      </c>
    </row>
    <row r="13" spans="2:6" x14ac:dyDescent="0.35">
      <c r="B13" t="s">
        <v>150</v>
      </c>
      <c r="C13" t="s">
        <v>168</v>
      </c>
      <c r="D13" t="s">
        <v>168</v>
      </c>
      <c r="E13" t="s">
        <v>135</v>
      </c>
      <c r="F13" t="s">
        <v>143</v>
      </c>
    </row>
    <row r="14" spans="2:6" x14ac:dyDescent="0.35">
      <c r="B14" t="s">
        <v>151</v>
      </c>
      <c r="C14" t="s">
        <v>168</v>
      </c>
      <c r="D14" t="s">
        <v>166</v>
      </c>
      <c r="E14" t="s">
        <v>135</v>
      </c>
      <c r="F14" t="s">
        <v>148</v>
      </c>
    </row>
    <row r="15" spans="2:6" x14ac:dyDescent="0.35">
      <c r="B15" t="s">
        <v>152</v>
      </c>
      <c r="C15" t="s">
        <v>168</v>
      </c>
      <c r="D15" t="s">
        <v>168</v>
      </c>
      <c r="E15" t="s">
        <v>135</v>
      </c>
      <c r="F15" t="s">
        <v>143</v>
      </c>
    </row>
    <row r="16" spans="2:6" x14ac:dyDescent="0.35">
      <c r="B16" t="s">
        <v>153</v>
      </c>
      <c r="C16" t="s">
        <v>168</v>
      </c>
      <c r="D16" t="s">
        <v>166</v>
      </c>
      <c r="E16" t="s">
        <v>135</v>
      </c>
      <c r="F16" t="s">
        <v>143</v>
      </c>
    </row>
    <row r="17" spans="2:6" x14ac:dyDescent="0.35">
      <c r="B17" t="s">
        <v>154</v>
      </c>
      <c r="C17" t="s">
        <v>168</v>
      </c>
      <c r="D17" t="s">
        <v>168</v>
      </c>
      <c r="E17" t="s">
        <v>135</v>
      </c>
      <c r="F17" t="s">
        <v>143</v>
      </c>
    </row>
    <row r="18" spans="2:6" x14ac:dyDescent="0.35">
      <c r="B18" t="s">
        <v>155</v>
      </c>
      <c r="C18" t="s">
        <v>168</v>
      </c>
      <c r="D18" t="s">
        <v>168</v>
      </c>
      <c r="E18" t="s">
        <v>135</v>
      </c>
      <c r="F18" t="s">
        <v>143</v>
      </c>
    </row>
    <row r="19" spans="2:6" x14ac:dyDescent="0.35">
      <c r="B19" t="s">
        <v>156</v>
      </c>
      <c r="C19" t="s">
        <v>168</v>
      </c>
      <c r="D19" t="s">
        <v>168</v>
      </c>
      <c r="E19" t="s">
        <v>135</v>
      </c>
      <c r="F19" t="s">
        <v>136</v>
      </c>
    </row>
    <row r="20" spans="2:6" x14ac:dyDescent="0.35">
      <c r="B20" t="s">
        <v>157</v>
      </c>
      <c r="C20" t="s">
        <v>168</v>
      </c>
      <c r="D20" t="s">
        <v>166</v>
      </c>
      <c r="E20" t="s">
        <v>135</v>
      </c>
      <c r="F20" t="s">
        <v>143</v>
      </c>
    </row>
    <row r="21" spans="2:6" x14ac:dyDescent="0.35">
      <c r="B21" t="s">
        <v>158</v>
      </c>
      <c r="C21" t="s">
        <v>171</v>
      </c>
      <c r="D21" t="s">
        <v>168</v>
      </c>
      <c r="E21" t="s">
        <v>135</v>
      </c>
      <c r="F21" t="s">
        <v>143</v>
      </c>
    </row>
    <row r="22" spans="2:6" x14ac:dyDescent="0.35">
      <c r="B22" t="s">
        <v>159</v>
      </c>
      <c r="C22" t="s">
        <v>169</v>
      </c>
      <c r="D22" t="s">
        <v>166</v>
      </c>
      <c r="E22" t="s">
        <v>160</v>
      </c>
      <c r="F22" t="s">
        <v>148</v>
      </c>
    </row>
    <row r="23" spans="2:6" x14ac:dyDescent="0.35">
      <c r="B23" t="s">
        <v>161</v>
      </c>
      <c r="C23" t="s">
        <v>172</v>
      </c>
      <c r="D23" t="s">
        <v>166</v>
      </c>
      <c r="E23" t="s">
        <v>135</v>
      </c>
      <c r="F23" t="s">
        <v>148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Miller</dc:creator>
  <cp:lastModifiedBy>John Miller</cp:lastModifiedBy>
  <dcterms:created xsi:type="dcterms:W3CDTF">2026-01-14T21:13:18Z</dcterms:created>
  <dcterms:modified xsi:type="dcterms:W3CDTF">2026-01-24T18:29:53Z</dcterms:modified>
</cp:coreProperties>
</file>